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\Year 4\Sem 7\BA\"/>
    </mc:Choice>
  </mc:AlternateContent>
  <xr:revisionPtr revIDLastSave="0" documentId="8_{12476CFA-BC1A-4A2F-B29C-B81FF2CD51D9}" xr6:coauthVersionLast="47" xr6:coauthVersionMax="47" xr10:uidLastSave="{00000000-0000-0000-0000-000000000000}"/>
  <bookViews>
    <workbookView xWindow="-108" yWindow="-108" windowWidth="23256" windowHeight="14616" xr2:uid="{56973EBF-8AC4-4A03-8406-374BF715D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8" i="1"/>
  <c r="I9" i="1"/>
  <c r="I11" i="1"/>
  <c r="I10" i="1"/>
  <c r="I7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<sst xmlns="http://schemas.openxmlformats.org/spreadsheetml/2006/main" count="19" uniqueCount="19">
  <si>
    <t>Input</t>
  </si>
  <si>
    <t>SUM</t>
  </si>
  <si>
    <t>MAX</t>
  </si>
  <si>
    <t>MIN</t>
  </si>
  <si>
    <t>AVG</t>
  </si>
  <si>
    <t>SQRT</t>
  </si>
  <si>
    <t>ROUND</t>
  </si>
  <si>
    <t>POWER</t>
  </si>
  <si>
    <t>ABSOLUTE</t>
  </si>
  <si>
    <t>COUNT</t>
  </si>
  <si>
    <t>MEAN</t>
  </si>
  <si>
    <t>MEDIAN</t>
  </si>
  <si>
    <t>MODE</t>
  </si>
  <si>
    <t>STANDARD DEVIATION</t>
  </si>
  <si>
    <t>VARIANCE</t>
  </si>
  <si>
    <t>SKEWNESS</t>
  </si>
  <si>
    <t>KURTOSIS</t>
  </si>
  <si>
    <t>1. Explore the features of Ms– Excel.
(i) Get the input from user and perform numerical operations (MAX, MIN, AVG, SUM, SQRT, ROUND,etc..)
(ii) Perform data import/export operations for different file formats.</t>
  </si>
  <si>
    <t>2. Perform statistical operations – Mean, Median, Mode and Standard deviation, Variance, Skewness, Kurtosis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</si>
</sst>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63D0-C6C0-4193-8177-55C94EAFAC78}">
  <dimension ref="C1:I17"/>
  <sheetViews>
    <sheetView tabSelected="1" zoomScaleNormal="100" workbookViewId="0">
      <selection activeCell="K18" sqref="K18"/>
    </sheetView>
  </sheetViews>
  <sheetFormatPr defaultRowHeight="14.4" x14ac:dyDescent="0.3"/>
  <cols>
    <col min="3" max="3" width="8.88671875" customWidth="1"/>
    <col min="8" max="8" width="12.21875" customWidth="1"/>
  </cols>
  <sheetData>
    <row r="1" spans="3:9" ht="14.4" customHeight="1" x14ac:dyDescent="0.3">
      <c r="C1" s="3" t="s">
        <v>17</v>
      </c>
      <c r="D1" s="3"/>
      <c r="E1" s="3"/>
      <c r="F1" s="3"/>
      <c r="G1" s="2"/>
      <c r="H1" s="3" t="s">
        <v>18</v>
      </c>
      <c r="I1" s="3"/>
    </row>
    <row r="2" spans="3:9" x14ac:dyDescent="0.3">
      <c r="C2" s="3"/>
      <c r="D2" s="3"/>
      <c r="E2" s="3"/>
      <c r="F2" s="3"/>
      <c r="G2" s="2"/>
      <c r="H2" s="3"/>
      <c r="I2" s="3"/>
    </row>
    <row r="3" spans="3:9" ht="63" customHeight="1" x14ac:dyDescent="0.3">
      <c r="C3" s="3"/>
      <c r="D3" s="3"/>
      <c r="E3" s="3"/>
      <c r="F3" s="3"/>
      <c r="G3" s="2"/>
      <c r="H3" s="3"/>
      <c r="I3" s="3"/>
    </row>
    <row r="4" spans="3:9" ht="14.4" customHeight="1" x14ac:dyDescent="0.3">
      <c r="C4" t="s">
        <v>0</v>
      </c>
    </row>
    <row r="5" spans="3:9" x14ac:dyDescent="0.3">
      <c r="C5">
        <v>1</v>
      </c>
      <c r="E5" t="s">
        <v>1</v>
      </c>
      <c r="F5">
        <f>SUM(C5:C14)</f>
        <v>55</v>
      </c>
      <c r="H5" t="s">
        <v>10</v>
      </c>
      <c r="I5">
        <f>AVERAGE(C5:C17)</f>
        <v>5.1129692307692318</v>
      </c>
    </row>
    <row r="6" spans="3:9" x14ac:dyDescent="0.3">
      <c r="C6">
        <v>2</v>
      </c>
      <c r="E6" t="s">
        <v>2</v>
      </c>
      <c r="F6">
        <f>MAX(C5:C14)</f>
        <v>10</v>
      </c>
      <c r="H6" t="s">
        <v>11</v>
      </c>
      <c r="I6">
        <f>MEDIAN(C5:C17)</f>
        <v>6</v>
      </c>
    </row>
    <row r="7" spans="3:9" x14ac:dyDescent="0.3">
      <c r="C7">
        <v>3</v>
      </c>
      <c r="E7" t="s">
        <v>3</v>
      </c>
      <c r="F7">
        <f>MIN(C5:C14)</f>
        <v>1</v>
      </c>
      <c r="H7" t="s">
        <v>12</v>
      </c>
      <c r="I7">
        <f>MODE(C5:C17)</f>
        <v>11</v>
      </c>
    </row>
    <row r="8" spans="3:9" ht="28.8" x14ac:dyDescent="0.3">
      <c r="C8">
        <v>4</v>
      </c>
      <c r="E8" t="s">
        <v>4</v>
      </c>
      <c r="F8">
        <f>AVERAGE(C5:C14)</f>
        <v>5.5</v>
      </c>
      <c r="H8" s="1" t="s">
        <v>13</v>
      </c>
      <c r="I8">
        <f>_xlfn.STDEV.P(C5:C17)</f>
        <v>5.5335235634038415</v>
      </c>
    </row>
    <row r="9" spans="3:9" x14ac:dyDescent="0.3">
      <c r="C9">
        <v>5</v>
      </c>
      <c r="E9" t="s">
        <v>5</v>
      </c>
      <c r="F9">
        <f>SQRT(C13)</f>
        <v>3</v>
      </c>
      <c r="H9" t="s">
        <v>14</v>
      </c>
      <c r="I9">
        <f>_xlfn.VAR.P(C5:C17)</f>
        <v>30.619883026745551</v>
      </c>
    </row>
    <row r="10" spans="3:9" x14ac:dyDescent="0.3">
      <c r="C10">
        <v>6</v>
      </c>
      <c r="E10" t="s">
        <v>6</v>
      </c>
      <c r="F10">
        <f>ROUND(C15,2)</f>
        <v>-10.53</v>
      </c>
      <c r="H10" t="s">
        <v>15</v>
      </c>
      <c r="I10">
        <f>SKEW(C5:C17)</f>
        <v>-1.71373712736189</v>
      </c>
    </row>
    <row r="11" spans="3:9" x14ac:dyDescent="0.3">
      <c r="C11">
        <v>7</v>
      </c>
      <c r="E11" t="s">
        <v>7</v>
      </c>
      <c r="F11">
        <f>POWER(C7,3)</f>
        <v>27</v>
      </c>
      <c r="H11" t="s">
        <v>16</v>
      </c>
      <c r="I11">
        <f>KURT(C5:C17)</f>
        <v>4.0403274441620809</v>
      </c>
    </row>
    <row r="12" spans="3:9" x14ac:dyDescent="0.3">
      <c r="C12">
        <v>8</v>
      </c>
      <c r="E12" t="s">
        <v>8</v>
      </c>
      <c r="F12">
        <f>ABS(C15)</f>
        <v>10.5314</v>
      </c>
    </row>
    <row r="13" spans="3:9" x14ac:dyDescent="0.3">
      <c r="C13">
        <v>9</v>
      </c>
      <c r="E13" t="s">
        <v>9</v>
      </c>
      <c r="F13">
        <f>COUNT(C5:C14)</f>
        <v>10</v>
      </c>
    </row>
    <row r="14" spans="3:9" x14ac:dyDescent="0.3">
      <c r="C14">
        <v>10</v>
      </c>
    </row>
    <row r="15" spans="3:9" x14ac:dyDescent="0.3">
      <c r="C15">
        <v>-10.5314</v>
      </c>
    </row>
    <row r="16" spans="3:9" x14ac:dyDescent="0.3">
      <c r="C16">
        <v>11</v>
      </c>
    </row>
    <row r="17" spans="3:3" x14ac:dyDescent="0.3">
      <c r="C17">
        <v>11</v>
      </c>
    </row>
  </sheetData>
  <mergeCells count="2">
    <mergeCell ref="C1:F3"/>
    <mergeCell ref="H1:I3"/>
  </mergeCells>
  <pageMargins left="0.7" right="0.7" top="0.75" bottom="0.75" header="0.3" footer="0.3"/>
  <ignoredErrors>
    <ignoredError sqref="F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Aravindhan K S</dc:creator>
  <cp:lastModifiedBy>Aravindhan K S</cp:lastModifiedBy>
  <dcterms:created xsi:type="dcterms:W3CDTF">2026-07-02T15:12:02Z</dcterms:created>
  <dcterms:modified xsi:type="dcterms:W3CDTF">2026-07-02T15:27:34Z</dcterms:modified>
</cp:coreProperties>
</file>